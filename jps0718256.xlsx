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<sst xmlns="http://schemas.openxmlformats.org/spreadsheetml/2006/main" count="9" uniqueCount="9">
  <si>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tsdf256moorec64.npz</t>
  </si>
  <si>
    <t xml:space="preserve">mazes256moorec64.npz</t>
  </si>
  <si>
    <t xml:space="preserve">alternatinggaps256moorec64.npz</t>
  </si>
  <si>
    <t xml:space="preserve">multiplebugtraps256moorec64.npz</t>
  </si>
  <si>
    <t xml:space="preserve">forest256moorec64.npz</t>
  </si>
  <si>
    <t xml:space="preserve">gapsandforest256moorec64.npz</t>
  </si>
  <si>
    <t xml:space="preserve">bugtrapforest256moorec64.npz</t>
  </si>
  <si>
    <t xml:space="preserve">shiftinggaps256moorec64.npz</t>
  </si>
  <si>
    <t xml:space="preserve">singlebugtrap256moorec64.npz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</si>
</sst>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250" zoomScaleNormal="250" zoomScalePageLayoutView="100" workbookViewId="0">
      <selection pane="topLeft" activeCell="D14" activeCellId="0" sqref="D14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9.86"/>
    <col collapsed="false" customWidth="true" hidden="false" outlineLevel="0" max="2" min="2" style="0" width="19.96"/>
    <col collapsed="false" customWidth="true" hidden="false" outlineLevel="0" max="4" min="3" style="0" width="17.14"/>
    <col collapsed="false" customWidth="true" hidden="false" outlineLevel="0" max="5" min="5" style="0" width="17.09"/>
    <col collapsed="false" customWidth="true" hidden="false" outlineLevel="0" max="6" min="6" style="0" width="17.02"/>
    <col collapsed="false" customWidth="true" hidden="false" outlineLevel="0" max="9" min="7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169.074935008617</v>
      </c>
      <c r="B2" s="0" t="n">
        <v>274.796796309315</v>
      </c>
      <c r="C2" s="0" t="n">
        <v>281.183174465507</v>
      </c>
      <c r="D2" s="0" t="n">
        <v>283.714545315406</v>
      </c>
      <c r="E2" s="0" t="n">
        <v>224.36652224137</v>
      </c>
      <c r="F2" s="0" t="n">
        <v>432.731615947754</v>
      </c>
      <c r="G2" s="0" t="n">
        <v>288.172828099886</v>
      </c>
      <c r="H2" s="0" t="n">
        <v>288.982582746941</v>
      </c>
      <c r="I2" s="0" t="n">
        <v>255.16652224137</v>
      </c>
    </row>
    <row r="3" customFormat="false" ht="15" hidden="false" customHeight="false" outlineLevel="0" collapsed="false">
      <c r="A3" s="0" t="n">
        <v>111.846782100575</v>
      </c>
      <c r="B3" s="0" t="n">
        <v>18.4398481132698</v>
      </c>
      <c r="C3" s="0" t="n">
        <v>48.3602204901398</v>
      </c>
      <c r="D3" s="0" t="n">
        <v>25.2005885697256</v>
      </c>
      <c r="E3" s="0" t="n">
        <v>35.9036796010974</v>
      </c>
      <c r="F3" s="0" t="n">
        <v>97.4788798789863</v>
      </c>
      <c r="G3" s="0" t="n">
        <v>41.5477412184372</v>
      </c>
      <c r="H3" s="0" t="n">
        <v>43.3263981082112</v>
      </c>
      <c r="I3" s="0" t="n">
        <v>32.6425620518758</v>
      </c>
    </row>
    <row r="4" customFormat="false" ht="15" hidden="false" customHeight="false" outlineLevel="0" collapsed="false">
      <c r="A4" s="0" t="n">
        <v>1476.6</v>
      </c>
      <c r="B4" s="0" t="n">
        <v>5.8</v>
      </c>
      <c r="C4" s="0" t="n">
        <v>5.6</v>
      </c>
      <c r="D4" s="0" t="n">
        <v>52.6</v>
      </c>
      <c r="E4" s="0" t="n">
        <v>94.2</v>
      </c>
      <c r="F4" s="0" t="n">
        <v>450.4</v>
      </c>
      <c r="G4" s="0" t="n">
        <v>321.2</v>
      </c>
      <c r="H4" s="0" t="n">
        <v>6.6</v>
      </c>
      <c r="I4" s="0" t="n">
        <v>4.4</v>
      </c>
    </row>
    <row r="5" customFormat="false" ht="15" hidden="false" customHeight="false" outlineLevel="0" collapsed="false">
      <c r="A5" s="0" t="n">
        <v>2554.44918524523</v>
      </c>
      <c r="B5" s="0" t="n">
        <v>1.32664991614216</v>
      </c>
      <c r="C5" s="0" t="n">
        <v>3.13687742827162</v>
      </c>
      <c r="D5" s="0" t="n">
        <v>65.5426578649356</v>
      </c>
      <c r="E5" s="0" t="n">
        <v>52.7234293270079</v>
      </c>
      <c r="F5" s="0" t="n">
        <v>496.300554100033</v>
      </c>
      <c r="G5" s="0" t="n">
        <v>334.734760668802</v>
      </c>
      <c r="H5" s="0" t="n">
        <v>1.85472369909914</v>
      </c>
      <c r="I5" s="0" t="n">
        <v>2.57681974534503</v>
      </c>
    </row>
    <row r="6" customFormat="false" ht="13.8" hidden="false" customHeight="false" outlineLevel="0" collapsed="false">
      <c r="A6" s="0" t="n">
        <f aca="false">A2+SQRT(A4)</f>
        <v>207.501488327904</v>
      </c>
    </row>
    <row r="7" customFormat="false" ht="13.8" hidden="false" customHeight="false" outlineLevel="0" collapsed="false">
      <c r="A7" s="0" t="n">
        <f aca="false">A3+SQRT(A5)</f>
        <v>162.38834109162</v>
      </c>
    </row>
    <row r="8" customFormat="false" ht="15" hidden="false" customHeight="false" outlineLevel="0" collapsed="false">
      <c r="B8" s="0" t="n">
        <f aca="false">SQRT(B3^2+B5^2)</f>
        <v>18.4875092546416</v>
      </c>
    </row>
    <row r="10" customFormat="false" ht="13.8" hidden="false" customHeight="false" outlineLevel="0" collapsed="false"/>
    <row r="11" customFormat="false" ht="14.65" hidden="false" customHeight="false" outlineLevel="0" collapsed="false">
      <c r="A11" s="2" t="n">
        <v>153.206704101562</v>
      </c>
      <c r="B11" s="2" t="n">
        <v>175.238900146484</v>
      </c>
      <c r="C11" s="0" t="n">
        <f aca="false">((B11-A11)^2-A4)/(B11-A11)^2</f>
        <v>-2.04191650589515</v>
      </c>
    </row>
    <row r="12" customFormat="false" ht="14.65" hidden="false" customHeight="false" outlineLevel="0" collapsed="false">
      <c r="A12" s="2" t="n">
        <v>153.206704101562</v>
      </c>
      <c r="B12" s="2" t="n">
        <v>175.238900146484</v>
      </c>
      <c r="C12" s="3" t="n">
        <f aca="false">(A5)/(B12-A12)^2</f>
        <v>5.26237379118778</v>
      </c>
    </row>
    <row r="13" customFormat="false" ht="13.8" hidden="false" customHeight="false" outlineLevel="0" collapsed="false">
      <c r="B13" s="0" t="n">
        <f aca="false">(B11-A11)^2</f>
        <v>485.417662561871</v>
      </c>
      <c r="C13" s="3" t="n">
        <v>5.8</v>
      </c>
      <c r="D13" s="0" t="n">
        <f aca="false">(B13-5.8)/B13</f>
        <v>0.988051526659764</v>
      </c>
    </row>
    <row r="15" customFormat="false" ht="13.8" hidden="false" customHeight="false" outlineLevel="0" collapsed="false">
      <c r="B15" s="0" t="n">
        <f aca="false">277.8 + 5.8</f>
        <v>283.6</v>
      </c>
      <c r="D15" s="3" t="n">
        <v>5.8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2025-07-18T08:06:47Z</dcterms:created>
  <dc:creator>openpyxl</dc:creator>
  <dc:description/>
  <dc:language>en-US</dc:language>
  <cp:lastModifiedBy/>
  <dcterms:modified xsi:type="dcterms:W3CDTF">2025-07-19T18:05:32Z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