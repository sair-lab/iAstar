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<sst xmlns="http://schemas.openxmlformats.org/spreadsheetml/2006/main" count="11" uniqueCount="11">
  <si>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tsdf064moorec25.npz</t>
  </si>
  <si>
    <t xml:space="preserve">maze064moorec8.npz</t>
  </si>
  <si>
    <t xml:space="preserve">alternatinggaps064moorec16.npz</t>
  </si>
  <si>
    <t xml:space="preserve">all064moorec16.npz</t>
  </si>
  <si>
    <t xml:space="preserve">bugtrapforest064moorec16.npz</t>
  </si>
  <si>
    <t xml:space="preserve">forest064moorec16.npz</t>
  </si>
  <si>
    <t xml:space="preserve">multiplebugtraps064moorec16.npz</t>
  </si>
  <si>
    <t xml:space="preserve">mazes064moorec16.npz</t>
  </si>
  <si>
    <t xml:space="preserve">shiftinggaps064moorec16.npz</t>
  </si>
  <si>
    <t xml:space="preserve">gapsandforest064moorec16.npz</t>
  </si>
  <si>
    <t xml:space="preserve">singlebugtrap064moorec16.npz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</si>
</sst>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true" showOutlineSymbols="true" defaultGridColor="true" view="normal" topLeftCell="A1" colorId="64" zoomScale="250" zoomScaleNormal="250" zoomScalePageLayoutView="100" workbookViewId="0">
      <selection pane="topLeft" activeCell="A7" activeCellId="0" sqref="A7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8.34"/>
    <col collapsed="false" customWidth="true" hidden="false" outlineLevel="0" max="2" min="2" style="0" width="26.32"/>
    <col collapsed="false" customWidth="true" hidden="false" outlineLevel="0" max="3" min="3" style="0" width="16.8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0" t="n">
        <v>36.4509667991878</v>
      </c>
      <c r="B2" s="0" t="n">
        <v>84.5033621333629</v>
      </c>
      <c r="C2" s="0" t="n">
        <v>73.0322943214974</v>
      </c>
      <c r="D2" s="0" t="n">
        <v>64.235743110038</v>
      </c>
      <c r="E2" s="0" t="n">
        <v>72.6842712474619</v>
      </c>
      <c r="F2" s="0" t="n">
        <v>66.0499566724111</v>
      </c>
      <c r="G2" s="0" t="n">
        <v>70.9730014102411</v>
      </c>
      <c r="H2" s="0" t="n">
        <v>83.8631601080076</v>
      </c>
      <c r="I2" s="0" t="n">
        <v>62.2759451353934</v>
      </c>
      <c r="J2" s="0" t="n">
        <v>106.375440072005</v>
      </c>
      <c r="K2" s="0" t="n">
        <v>59.9671139599365</v>
      </c>
    </row>
    <row r="3" customFormat="false" ht="15" hidden="false" customHeight="false" outlineLevel="0" collapsed="false">
      <c r="A3" s="0" t="n">
        <v>14.6882546727112</v>
      </c>
      <c r="B3" s="0" t="n">
        <v>24.7655609631736</v>
      </c>
      <c r="C3" s="0" t="n">
        <v>13.2176616760132</v>
      </c>
      <c r="D3" s="0" t="n">
        <v>7.89216721789127</v>
      </c>
      <c r="E3" s="0" t="n">
        <v>10.6445658533781</v>
      </c>
      <c r="F3" s="0" t="n">
        <v>8.44627467291498</v>
      </c>
      <c r="G3" s="0" t="n">
        <v>11.7227936292873</v>
      </c>
      <c r="H3" s="0" t="n">
        <v>23.3458076675597</v>
      </c>
      <c r="I3" s="0" t="n">
        <v>13.999877978403</v>
      </c>
      <c r="J3" s="0" t="n">
        <v>25.5413831065177</v>
      </c>
      <c r="K3" s="0" t="n">
        <v>11.1975834922692</v>
      </c>
    </row>
    <row r="4" customFormat="false" ht="15" hidden="false" customHeight="false" outlineLevel="0" collapsed="false">
      <c r="A4" s="0" t="n">
        <v>44.4</v>
      </c>
      <c r="B4" s="0" t="n">
        <v>284.6</v>
      </c>
      <c r="C4" s="0" t="n">
        <v>7</v>
      </c>
      <c r="D4" s="0" t="n">
        <v>60.6</v>
      </c>
      <c r="E4" s="0" t="n">
        <v>50.6</v>
      </c>
      <c r="F4" s="0" t="n">
        <v>56.4</v>
      </c>
      <c r="G4" s="0" t="n">
        <v>16</v>
      </c>
      <c r="H4" s="0" t="n">
        <v>6.2</v>
      </c>
      <c r="I4" s="0" t="n">
        <v>4.2</v>
      </c>
      <c r="J4" s="0" t="n">
        <v>170.8</v>
      </c>
      <c r="K4" s="0" t="n">
        <v>4.4</v>
      </c>
    </row>
    <row r="5" customFormat="false" ht="15" hidden="false" customHeight="false" outlineLevel="0" collapsed="false">
      <c r="A5" s="0" t="n">
        <v>25.3266657892428</v>
      </c>
      <c r="B5" s="0" t="n">
        <v>98.8161930049929</v>
      </c>
      <c r="C5" s="0" t="n">
        <v>1.09544511501033</v>
      </c>
      <c r="D5" s="0" t="n">
        <v>50.2776292201611</v>
      </c>
      <c r="E5" s="0" t="n">
        <v>43.8935074925666</v>
      </c>
      <c r="F5" s="0" t="n">
        <v>47.2423538786966</v>
      </c>
      <c r="G5" s="0" t="n">
        <v>7.4565407529229</v>
      </c>
      <c r="H5" s="0" t="n">
        <v>1.32664991614216</v>
      </c>
      <c r="I5" s="0" t="n">
        <v>2.71293199325011</v>
      </c>
      <c r="J5" s="0" t="n">
        <v>48.1431199653699</v>
      </c>
      <c r="K5" s="0" t="n">
        <v>1.74355957741627</v>
      </c>
    </row>
    <row r="7" customFormat="false" ht="15" hidden="false" customHeight="false" outlineLevel="0" collapsed="false">
      <c r="A7" s="0" t="n">
        <f aca="false">37.2+SQRT(44.4)</f>
        <v>43.8633324995831</v>
      </c>
      <c r="B7" s="0" t="n">
        <f aca="false">131+284.6^0.5</f>
        <v>147.870091878825</v>
      </c>
    </row>
    <row r="8" customFormat="false" ht="13.8" hidden="false" customHeight="false" outlineLevel="0" collapsed="false">
      <c r="A8" s="0" t="n">
        <f aca="false">SQRT(A3^2+A5)</f>
        <v>15.5264770994474</v>
      </c>
      <c r="B8" s="0" t="n">
        <f aca="false">SQRT(B3^2+B5)</f>
        <v>26.6861237879476</v>
      </c>
      <c r="C8" s="0" t="n">
        <f aca="false">SQRT(C3^2+C5^2)</f>
        <v>13.2629778021962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2025-07-18T06:19:34Z</dcterms:created>
  <dc:creator>openpyxl</dc:creator>
  <dc:description/>
  <dc:language>en-US</dc:language>
  <cp:lastModifiedBy/>
  <dcterms:modified xsi:type="dcterms:W3CDTF">2025-07-19T15:41:34Z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